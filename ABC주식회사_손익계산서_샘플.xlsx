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계산서" sheetId="1" state="visible" r:id="rId1"/>
    <sheet xmlns:r="http://schemas.openxmlformats.org/officeDocument/2006/relationships" name="업로드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9"/>
    </font>
    <font>
      <name val="맑은 고딕"/>
      <b val="1"/>
      <color rgb="001a1a18"/>
      <sz val="9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color rgb="000000FF"/>
      <sz val="9"/>
    </font>
    <font>
      <name val="맑은 고딕"/>
      <b val="1"/>
      <color rgb="00534AB7"/>
      <sz val="12"/>
    </font>
  </fonts>
  <fills count="7">
    <fill>
      <patternFill/>
    </fill>
    <fill>
      <patternFill patternType="gray125"/>
    </fill>
    <fill>
      <patternFill patternType="solid">
        <fgColor rgb="00534AB7"/>
        <bgColor rgb="00534AB7"/>
      </patternFill>
    </fill>
    <fill>
      <patternFill patternType="solid">
        <fgColor rgb="003C3489"/>
        <bgColor rgb="003C3489"/>
      </patternFill>
    </fill>
    <fill>
      <patternFill patternType="solid">
        <fgColor rgb="00F0EFF8"/>
        <bgColor rgb="00F0EFF8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1"/>
    </xf>
    <xf numFmtId="3" fontId="5" fillId="6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0" customHeight="1">
      <c r="A1" s="1" t="inlineStr">
        <is>
          <t>ABC주식회사 손익계산서 (2026년 1월~12월)</t>
        </is>
      </c>
    </row>
    <row r="2" ht="20" customHeight="1">
      <c r="A2" s="2" t="inlineStr">
        <is>
          <t>과목</t>
        </is>
      </c>
      <c r="B2" s="2" t="inlineStr">
        <is>
          <t>계</t>
        </is>
      </c>
      <c r="C2" s="2" t="inlineStr">
        <is>
          <t>1월</t>
        </is>
      </c>
      <c r="D2" s="2" t="inlineStr">
        <is>
          <t>2월</t>
        </is>
      </c>
      <c r="E2" s="2" t="inlineStr">
        <is>
          <t>3월</t>
        </is>
      </c>
      <c r="F2" s="2" t="inlineStr">
        <is>
          <t>4월</t>
        </is>
      </c>
      <c r="G2" s="2" t="inlineStr">
        <is>
          <t>5월</t>
        </is>
      </c>
      <c r="H2" s="2" t="inlineStr">
        <is>
          <t>6월</t>
        </is>
      </c>
      <c r="I2" s="2" t="inlineStr">
        <is>
          <t>7월</t>
        </is>
      </c>
      <c r="J2" s="2" t="inlineStr">
        <is>
          <t>8월</t>
        </is>
      </c>
      <c r="K2" s="2" t="inlineStr">
        <is>
          <t>9월</t>
        </is>
      </c>
      <c r="L2" s="2" t="inlineStr">
        <is>
          <t>10월</t>
        </is>
      </c>
      <c r="M2" s="2" t="inlineStr">
        <is>
          <t>11월</t>
        </is>
      </c>
      <c r="N2" s="2" t="inlineStr">
        <is>
          <t>12월</t>
        </is>
      </c>
    </row>
    <row r="3" ht="17" customHeight="1">
      <c r="A3" s="3" t="inlineStr">
        <is>
          <t>Ⅰ. 매출액</t>
        </is>
      </c>
      <c r="B3" s="4">
        <f>SUM(C3:N3)</f>
        <v/>
      </c>
      <c r="C3" s="4" t="n">
        <v>834409794</v>
      </c>
      <c r="D3" s="4" t="n">
        <v>837939866</v>
      </c>
      <c r="E3" s="4" t="n">
        <v>960986935</v>
      </c>
      <c r="F3" s="4" t="n">
        <v>947247496</v>
      </c>
      <c r="G3" s="4" t="n">
        <v>920000000</v>
      </c>
      <c r="H3" s="4" t="n">
        <v>950000000</v>
      </c>
      <c r="I3" s="4" t="n">
        <v>980000000</v>
      </c>
      <c r="J3" s="4" t="n">
        <v>1010000000</v>
      </c>
      <c r="K3" s="4" t="n">
        <v>990000000</v>
      </c>
      <c r="L3" s="4" t="n">
        <v>1050000000</v>
      </c>
      <c r="M3" s="4" t="n">
        <v>1100000000</v>
      </c>
      <c r="N3" s="4" t="n">
        <v>1200000000</v>
      </c>
    </row>
    <row r="4" ht="17" customHeight="1">
      <c r="A4" s="5" t="inlineStr">
        <is>
          <t xml:space="preserve">  로톡온라인광고매출</t>
        </is>
      </c>
      <c r="B4" s="6">
        <f>SUM(C4:N4)</f>
        <v/>
      </c>
      <c r="C4" s="7" t="n">
        <v>832742900</v>
      </c>
      <c r="D4" s="7" t="n">
        <v>833643399</v>
      </c>
      <c r="E4" s="7" t="n">
        <v>944944600</v>
      </c>
      <c r="F4" s="7" t="n">
        <v>943763036</v>
      </c>
      <c r="G4" s="7" t="n">
        <v>915000000</v>
      </c>
      <c r="H4" s="7" t="n">
        <v>944000000</v>
      </c>
      <c r="I4" s="7" t="n">
        <v>974000000</v>
      </c>
      <c r="J4" s="7" t="n">
        <v>1004000000</v>
      </c>
      <c r="K4" s="7" t="n">
        <v>984000000</v>
      </c>
      <c r="L4" s="7" t="n">
        <v>1044000000</v>
      </c>
      <c r="M4" s="7" t="n">
        <v>1094000000</v>
      </c>
      <c r="N4" s="7" t="n">
        <v>1194000000</v>
      </c>
    </row>
    <row r="5" ht="17" customHeight="1">
      <c r="A5" s="5" t="inlineStr">
        <is>
          <t xml:space="preserve">  로톡오프라인광고매출</t>
        </is>
      </c>
      <c r="B5" s="6">
        <f>SUM(C5:N5)</f>
        <v/>
      </c>
      <c r="C5" s="7" t="n"/>
      <c r="D5" s="7" t="n">
        <v>3000000</v>
      </c>
      <c r="E5" s="7" t="n"/>
      <c r="F5" s="7" t="n"/>
      <c r="G5" s="7" t="n">
        <v>1000000</v>
      </c>
      <c r="H5" s="7" t="n">
        <v>2000000</v>
      </c>
      <c r="I5" s="7" t="n">
        <v>2000000</v>
      </c>
      <c r="J5" s="7" t="n">
        <v>2000000</v>
      </c>
      <c r="K5" s="7" t="n">
        <v>2000000</v>
      </c>
      <c r="L5" s="7" t="n">
        <v>2000000</v>
      </c>
      <c r="M5" s="7" t="n">
        <v>2000000</v>
      </c>
      <c r="N5" s="7" t="n">
        <v>2000000</v>
      </c>
    </row>
    <row r="6" ht="17" customHeight="1">
      <c r="A6" s="5" t="inlineStr">
        <is>
          <t xml:space="preserve">  로톡기타광고매출</t>
        </is>
      </c>
      <c r="B6" s="6">
        <f>SUM(C6:N6)</f>
        <v/>
      </c>
      <c r="C6" s="7" t="n"/>
      <c r="D6" s="7" t="n"/>
      <c r="E6" s="7" t="n">
        <v>3000000</v>
      </c>
      <c r="F6" s="7" t="n"/>
      <c r="G6" s="7" t="n">
        <v>1000000</v>
      </c>
      <c r="H6" s="7" t="n">
        <v>1000000</v>
      </c>
      <c r="I6" s="7" t="n">
        <v>1000000</v>
      </c>
      <c r="J6" s="7" t="n">
        <v>1000000</v>
      </c>
      <c r="K6" s="7" t="n">
        <v>1000000</v>
      </c>
      <c r="L6" s="7" t="n">
        <v>1000000</v>
      </c>
      <c r="M6" s="7" t="n">
        <v>1000000</v>
      </c>
      <c r="N6" s="7" t="n">
        <v>1000000</v>
      </c>
    </row>
    <row r="7" ht="17" customHeight="1">
      <c r="A7" s="5" t="inlineStr">
        <is>
          <t xml:space="preserve">  기타마케팅국내매출</t>
        </is>
      </c>
      <c r="B7" s="6">
        <f>SUM(C7:N7)</f>
        <v/>
      </c>
      <c r="C7" s="7" t="n">
        <v>1653567</v>
      </c>
      <c r="D7" s="7" t="n">
        <v>1296467</v>
      </c>
      <c r="E7" s="7" t="n">
        <v>12977573</v>
      </c>
      <c r="F7" s="7" t="n">
        <v>3470881</v>
      </c>
      <c r="G7" s="7" t="n">
        <v>2500000</v>
      </c>
      <c r="H7" s="7" t="n">
        <v>2500000</v>
      </c>
      <c r="I7" s="7" t="n">
        <v>2500000</v>
      </c>
      <c r="J7" s="7" t="n">
        <v>2500000</v>
      </c>
      <c r="K7" s="7" t="n">
        <v>2500000</v>
      </c>
      <c r="L7" s="7" t="n">
        <v>2500000</v>
      </c>
      <c r="M7" s="7" t="n">
        <v>2500000</v>
      </c>
      <c r="N7" s="7" t="n">
        <v>2500000</v>
      </c>
    </row>
    <row r="8" ht="17" customHeight="1">
      <c r="A8" s="5" t="inlineStr">
        <is>
          <t xml:space="preserve">  기타마케팅해외매출</t>
        </is>
      </c>
      <c r="B8" s="6">
        <f>SUM(C8:N8)</f>
        <v/>
      </c>
      <c r="C8" s="7" t="n">
        <v>13327</v>
      </c>
      <c r="D8" s="7" t="n"/>
      <c r="E8" s="7" t="n">
        <v>14762</v>
      </c>
      <c r="F8" s="7" t="n">
        <v>13579</v>
      </c>
      <c r="G8" s="7" t="n">
        <v>500000</v>
      </c>
      <c r="H8" s="7" t="n">
        <v>500000</v>
      </c>
      <c r="I8" s="7" t="n">
        <v>500000</v>
      </c>
      <c r="J8" s="7" t="n">
        <v>500000</v>
      </c>
      <c r="K8" s="7" t="n">
        <v>500000</v>
      </c>
      <c r="L8" s="7" t="n">
        <v>500000</v>
      </c>
      <c r="M8" s="7" t="n">
        <v>500000</v>
      </c>
      <c r="N8" s="7" t="n">
        <v>500000</v>
      </c>
    </row>
    <row r="9" ht="17" customHeight="1">
      <c r="A9" s="5" t="inlineStr">
        <is>
          <t xml:space="preserve">  상담AI매출</t>
        </is>
      </c>
      <c r="B9" s="6">
        <f>SUM(C9:N9)</f>
        <v/>
      </c>
      <c r="C9" s="7" t="n"/>
      <c r="D9" s="7" t="n"/>
      <c r="E9" s="7" t="n">
        <v>50000</v>
      </c>
      <c r="F9" s="7" t="n"/>
      <c r="G9" s="7" t="n">
        <v>1000000</v>
      </c>
      <c r="H9" s="7" t="n">
        <v>2000000</v>
      </c>
      <c r="I9" s="7" t="n">
        <v>2000000</v>
      </c>
      <c r="J9" s="7" t="n">
        <v>2000000</v>
      </c>
      <c r="K9" s="7" t="n">
        <v>2000000</v>
      </c>
      <c r="L9" s="7" t="n">
        <v>2000000</v>
      </c>
      <c r="M9" s="7" t="n">
        <v>2000000</v>
      </c>
      <c r="N9" s="7" t="n">
        <v>2000000</v>
      </c>
    </row>
    <row r="10" ht="17" customHeight="1">
      <c r="A10" s="3" t="inlineStr">
        <is>
          <t>Ⅱ. 매출원가</t>
        </is>
      </c>
      <c r="B10" s="4">
        <f>SUM(C10:N10)</f>
        <v/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 ht="17" customHeight="1">
      <c r="A11" s="3" t="inlineStr">
        <is>
          <t>Ⅲ. 매출총이익</t>
        </is>
      </c>
      <c r="B11" s="4">
        <f>SUM(C11:N11)</f>
        <v/>
      </c>
      <c r="C11" s="4" t="n">
        <v>834409794</v>
      </c>
      <c r="D11" s="4" t="n">
        <v>837939866</v>
      </c>
      <c r="E11" s="4" t="n">
        <v>960986935</v>
      </c>
      <c r="F11" s="4" t="n">
        <v>947247496</v>
      </c>
      <c r="G11" s="4" t="n">
        <v>920000000</v>
      </c>
      <c r="H11" s="4" t="n">
        <v>950000000</v>
      </c>
      <c r="I11" s="4" t="n">
        <v>980000000</v>
      </c>
      <c r="J11" s="4" t="n">
        <v>1010000000</v>
      </c>
      <c r="K11" s="4" t="n">
        <v>990000000</v>
      </c>
      <c r="L11" s="4" t="n">
        <v>1050000000</v>
      </c>
      <c r="M11" s="4" t="n">
        <v>1100000000</v>
      </c>
      <c r="N11" s="4" t="n">
        <v>1200000000</v>
      </c>
    </row>
    <row r="12" ht="17" customHeight="1">
      <c r="A12" s="3" t="inlineStr">
        <is>
          <t>Ⅳ. 판매관리비</t>
        </is>
      </c>
      <c r="B12" s="4">
        <f>SUM(C12:N12)</f>
        <v/>
      </c>
      <c r="C12" s="4" t="n">
        <v>436142109</v>
      </c>
      <c r="D12" s="4" t="n">
        <v>425716598</v>
      </c>
      <c r="E12" s="4" t="n">
        <v>477554713</v>
      </c>
      <c r="F12" s="4" t="n">
        <v>493557117</v>
      </c>
      <c r="G12" s="4" t="n">
        <v>480000000</v>
      </c>
      <c r="H12" s="4" t="n">
        <v>490000000</v>
      </c>
      <c r="I12" s="4" t="n">
        <v>500000000</v>
      </c>
      <c r="J12" s="4" t="n">
        <v>510000000</v>
      </c>
      <c r="K12" s="4" t="n">
        <v>505000000</v>
      </c>
      <c r="L12" s="4" t="n">
        <v>520000000</v>
      </c>
      <c r="M12" s="4" t="n">
        <v>540000000</v>
      </c>
      <c r="N12" s="4" t="n">
        <v>580000000</v>
      </c>
    </row>
    <row r="13" ht="17" customHeight="1">
      <c r="A13" s="5" t="inlineStr">
        <is>
          <t xml:space="preserve">  직원급여</t>
        </is>
      </c>
      <c r="B13" s="6">
        <f>SUM(C13:N13)</f>
        <v/>
      </c>
      <c r="C13" s="7" t="n">
        <v>50751667</v>
      </c>
      <c r="D13" s="7" t="n">
        <v>55029196</v>
      </c>
      <c r="E13" s="7" t="n">
        <v>57065670</v>
      </c>
      <c r="F13" s="7" t="n">
        <v>57855185</v>
      </c>
      <c r="G13" s="7" t="n">
        <v>58000000</v>
      </c>
      <c r="H13" s="7" t="n">
        <v>58000000</v>
      </c>
      <c r="I13" s="7" t="n">
        <v>59000000</v>
      </c>
      <c r="J13" s="7" t="n">
        <v>59000000</v>
      </c>
      <c r="K13" s="7" t="n">
        <v>59000000</v>
      </c>
      <c r="L13" s="7" t="n">
        <v>60000000</v>
      </c>
      <c r="M13" s="7" t="n">
        <v>61000000</v>
      </c>
      <c r="N13" s="7" t="n">
        <v>65000000</v>
      </c>
    </row>
    <row r="14" ht="17" customHeight="1">
      <c r="A14" s="5" t="inlineStr">
        <is>
          <t xml:space="preserve">  상여금</t>
        </is>
      </c>
      <c r="B14" s="6">
        <f>SUM(C14:N14)</f>
        <v/>
      </c>
      <c r="C14" s="7" t="n"/>
      <c r="D14" s="7" t="n">
        <v>32170848</v>
      </c>
      <c r="E14" s="7" t="n">
        <v>28678901</v>
      </c>
      <c r="F14" s="7" t="n">
        <v>34767467</v>
      </c>
      <c r="G14" s="7" t="n"/>
      <c r="H14" s="7" t="n">
        <v>35000000</v>
      </c>
      <c r="I14" s="7" t="n"/>
      <c r="J14" s="7" t="n">
        <v>35000000</v>
      </c>
      <c r="K14" s="7" t="n"/>
      <c r="L14" s="7" t="n">
        <v>36000000</v>
      </c>
      <c r="M14" s="7" t="n"/>
      <c r="N14" s="7" t="n">
        <v>40000000</v>
      </c>
    </row>
    <row r="15" ht="17" customHeight="1">
      <c r="A15" s="5" t="inlineStr">
        <is>
          <t xml:space="preserve">  복리후생비</t>
        </is>
      </c>
      <c r="B15" s="6">
        <f>SUM(C15:N15)</f>
        <v/>
      </c>
      <c r="C15" s="7" t="n">
        <v>755400</v>
      </c>
      <c r="D15" s="7" t="n">
        <v>815300</v>
      </c>
      <c r="E15" s="7" t="n">
        <v>494050</v>
      </c>
      <c r="F15" s="7" t="n">
        <v>698300</v>
      </c>
      <c r="G15" s="7" t="n">
        <v>700000</v>
      </c>
      <c r="H15" s="7" t="n">
        <v>700000</v>
      </c>
      <c r="I15" s="7" t="n">
        <v>700000</v>
      </c>
      <c r="J15" s="7" t="n">
        <v>700000</v>
      </c>
      <c r="K15" s="7" t="n">
        <v>700000</v>
      </c>
      <c r="L15" s="7" t="n">
        <v>700000</v>
      </c>
      <c r="M15" s="7" t="n">
        <v>700000</v>
      </c>
      <c r="N15" s="7" t="n">
        <v>700000</v>
      </c>
    </row>
    <row r="16" ht="17" customHeight="1">
      <c r="A16" s="5" t="inlineStr">
        <is>
          <t xml:space="preserve">  여비교통비</t>
        </is>
      </c>
      <c r="B16" s="6">
        <f>SUM(C16:N16)</f>
        <v/>
      </c>
      <c r="C16" s="7" t="n">
        <v>9000</v>
      </c>
      <c r="D16" s="7" t="n"/>
      <c r="E16" s="7" t="n">
        <v>174396</v>
      </c>
      <c r="F16" s="7" t="n">
        <v>375000</v>
      </c>
      <c r="G16" s="7" t="n">
        <v>300000</v>
      </c>
      <c r="H16" s="7" t="n">
        <v>300000</v>
      </c>
      <c r="I16" s="7" t="n">
        <v>300000</v>
      </c>
      <c r="J16" s="7" t="n">
        <v>300000</v>
      </c>
      <c r="K16" s="7" t="n">
        <v>300000</v>
      </c>
      <c r="L16" s="7" t="n">
        <v>300000</v>
      </c>
      <c r="M16" s="7" t="n">
        <v>300000</v>
      </c>
      <c r="N16" s="7" t="n">
        <v>300000</v>
      </c>
    </row>
    <row r="17" ht="17" customHeight="1">
      <c r="A17" s="5" t="inlineStr">
        <is>
          <t xml:space="preserve">  접대비(일반)</t>
        </is>
      </c>
      <c r="B17" s="6">
        <f>SUM(C17:N17)</f>
        <v/>
      </c>
      <c r="C17" s="7" t="n">
        <v>30000</v>
      </c>
      <c r="D17" s="7" t="n"/>
      <c r="E17" s="7" t="n">
        <v>30000</v>
      </c>
      <c r="F17" s="7" t="n">
        <v>90000</v>
      </c>
      <c r="G17" s="7" t="n">
        <v>50000</v>
      </c>
      <c r="H17" s="7" t="n">
        <v>50000</v>
      </c>
      <c r="I17" s="7" t="n">
        <v>50000</v>
      </c>
      <c r="J17" s="7" t="n">
        <v>50000</v>
      </c>
      <c r="K17" s="7" t="n">
        <v>50000</v>
      </c>
      <c r="L17" s="7" t="n">
        <v>50000</v>
      </c>
      <c r="M17" s="7" t="n">
        <v>50000</v>
      </c>
      <c r="N17" s="7" t="n">
        <v>50000</v>
      </c>
    </row>
    <row r="18" ht="17" customHeight="1">
      <c r="A18" s="5" t="inlineStr">
        <is>
          <t xml:space="preserve">  통신비</t>
        </is>
      </c>
      <c r="B18" s="6">
        <f>SUM(C18:N18)</f>
        <v/>
      </c>
      <c r="C18" s="7" t="n">
        <v>600346</v>
      </c>
      <c r="D18" s="7" t="n">
        <v>450000</v>
      </c>
      <c r="E18" s="7" t="n">
        <v>55274</v>
      </c>
      <c r="F18" s="7" t="n">
        <v>477842</v>
      </c>
      <c r="G18" s="7" t="n">
        <v>400000</v>
      </c>
      <c r="H18" s="7" t="n">
        <v>400000</v>
      </c>
      <c r="I18" s="7" t="n">
        <v>400000</v>
      </c>
      <c r="J18" s="7" t="n">
        <v>400000</v>
      </c>
      <c r="K18" s="7" t="n">
        <v>400000</v>
      </c>
      <c r="L18" s="7" t="n">
        <v>400000</v>
      </c>
      <c r="M18" s="7" t="n">
        <v>400000</v>
      </c>
      <c r="N18" s="7" t="n">
        <v>400000</v>
      </c>
    </row>
    <row r="19" ht="17" customHeight="1">
      <c r="A19" s="5" t="inlineStr">
        <is>
          <t xml:space="preserve">  운반비</t>
        </is>
      </c>
      <c r="B19" s="6">
        <f>SUM(C19:N19)</f>
        <v/>
      </c>
      <c r="C19" s="7" t="n"/>
      <c r="D19" s="7" t="n"/>
      <c r="E19" s="7" t="n"/>
      <c r="F19" s="7" t="n">
        <v>105900</v>
      </c>
      <c r="G19" s="7" t="n">
        <v>100000</v>
      </c>
      <c r="H19" s="7" t="n">
        <v>100000</v>
      </c>
      <c r="I19" s="7" t="n">
        <v>100000</v>
      </c>
      <c r="J19" s="7" t="n">
        <v>100000</v>
      </c>
      <c r="K19" s="7" t="n">
        <v>100000</v>
      </c>
      <c r="L19" s="7" t="n">
        <v>100000</v>
      </c>
      <c r="M19" s="7" t="n">
        <v>100000</v>
      </c>
      <c r="N19" s="7" t="n">
        <v>100000</v>
      </c>
    </row>
    <row r="20" ht="17" customHeight="1">
      <c r="A20" s="5" t="inlineStr">
        <is>
          <t xml:space="preserve">  도서인쇄비</t>
        </is>
      </c>
      <c r="B20" s="6">
        <f>SUM(C20:N20)</f>
        <v/>
      </c>
      <c r="C20" s="7" t="n"/>
      <c r="D20" s="7" t="n">
        <v>25200</v>
      </c>
      <c r="E20" s="7" t="n"/>
      <c r="F20" s="7" t="n"/>
      <c r="G20" s="7" t="n">
        <v>20000</v>
      </c>
      <c r="H20" s="7" t="n">
        <v>20000</v>
      </c>
      <c r="I20" s="7" t="n">
        <v>20000</v>
      </c>
      <c r="J20" s="7" t="n">
        <v>20000</v>
      </c>
      <c r="K20" s="7" t="n">
        <v>20000</v>
      </c>
      <c r="L20" s="7" t="n">
        <v>20000</v>
      </c>
      <c r="M20" s="7" t="n">
        <v>20000</v>
      </c>
      <c r="N20" s="7" t="n">
        <v>20000</v>
      </c>
    </row>
    <row r="21" ht="17" customHeight="1">
      <c r="A21" s="5" t="inlineStr">
        <is>
          <t xml:space="preserve">  소모품비</t>
        </is>
      </c>
      <c r="B21" s="6">
        <f>SUM(C21:N21)</f>
        <v/>
      </c>
      <c r="C21" s="7" t="n"/>
      <c r="D21" s="7" t="n"/>
      <c r="E21" s="7" t="n"/>
      <c r="F21" s="7" t="n">
        <v>13600</v>
      </c>
      <c r="G21" s="7" t="n">
        <v>10000</v>
      </c>
      <c r="H21" s="7" t="n">
        <v>10000</v>
      </c>
      <c r="I21" s="7" t="n">
        <v>10000</v>
      </c>
      <c r="J21" s="7" t="n">
        <v>10000</v>
      </c>
      <c r="K21" s="7" t="n">
        <v>10000</v>
      </c>
      <c r="L21" s="7" t="n">
        <v>10000</v>
      </c>
      <c r="M21" s="7" t="n">
        <v>10000</v>
      </c>
      <c r="N21" s="7" t="n">
        <v>10000</v>
      </c>
    </row>
    <row r="22" ht="17" customHeight="1">
      <c r="A22" s="5" t="inlineStr">
        <is>
          <t xml:space="preserve">  지급수수료(기타)</t>
        </is>
      </c>
      <c r="B22" s="6">
        <f>SUM(C22:N22)</f>
        <v/>
      </c>
      <c r="C22" s="7" t="n">
        <v>181817</v>
      </c>
      <c r="D22" s="7" t="n">
        <v>418976</v>
      </c>
      <c r="E22" s="7" t="n">
        <v>150629</v>
      </c>
      <c r="F22" s="7" t="n">
        <v>604607</v>
      </c>
      <c r="G22" s="7" t="n">
        <v>400000</v>
      </c>
      <c r="H22" s="7" t="n">
        <v>400000</v>
      </c>
      <c r="I22" s="7" t="n">
        <v>400000</v>
      </c>
      <c r="J22" s="7" t="n">
        <v>400000</v>
      </c>
      <c r="K22" s="7" t="n">
        <v>400000</v>
      </c>
      <c r="L22" s="7" t="n">
        <v>400000</v>
      </c>
      <c r="M22" s="7" t="n">
        <v>400000</v>
      </c>
      <c r="N22" s="7" t="n">
        <v>400000</v>
      </c>
    </row>
    <row r="23" ht="17" customHeight="1">
      <c r="A23" s="5" t="inlineStr">
        <is>
          <t xml:space="preserve">  지급수수료(전산)</t>
        </is>
      </c>
      <c r="B23" s="6">
        <f>SUM(C23:N23)</f>
        <v/>
      </c>
      <c r="C23" s="7" t="n">
        <v>5349864</v>
      </c>
      <c r="D23" s="7" t="n">
        <v>6328649</v>
      </c>
      <c r="E23" s="7" t="n">
        <v>6038220</v>
      </c>
      <c r="F23" s="7" t="n">
        <v>4688564</v>
      </c>
      <c r="G23" s="7" t="n">
        <v>5000000</v>
      </c>
      <c r="H23" s="7" t="n">
        <v>5000000</v>
      </c>
      <c r="I23" s="7" t="n">
        <v>5000000</v>
      </c>
      <c r="J23" s="7" t="n">
        <v>5000000</v>
      </c>
      <c r="K23" s="7" t="n">
        <v>5000000</v>
      </c>
      <c r="L23" s="7" t="n">
        <v>5000000</v>
      </c>
      <c r="M23" s="7" t="n">
        <v>5000000</v>
      </c>
      <c r="N23" s="7" t="n">
        <v>5000000</v>
      </c>
    </row>
    <row r="24" ht="17" customHeight="1">
      <c r="A24" s="5" t="inlineStr">
        <is>
          <t xml:space="preserve">  지급수수료(기타매출)</t>
        </is>
      </c>
      <c r="B24" s="6">
        <f>SUM(C24:N24)</f>
        <v/>
      </c>
      <c r="C24" s="7" t="n">
        <v>60575000</v>
      </c>
      <c r="D24" s="7" t="n">
        <v>52150000</v>
      </c>
      <c r="E24" s="7" t="n">
        <v>57575000</v>
      </c>
      <c r="F24" s="7" t="n">
        <v>61125000</v>
      </c>
      <c r="G24" s="7" t="n">
        <v>58000000</v>
      </c>
      <c r="H24" s="7" t="n">
        <v>60000000</v>
      </c>
      <c r="I24" s="7" t="n">
        <v>62000000</v>
      </c>
      <c r="J24" s="7" t="n">
        <v>64000000</v>
      </c>
      <c r="K24" s="7" t="n">
        <v>63000000</v>
      </c>
      <c r="L24" s="7" t="n">
        <v>66000000</v>
      </c>
      <c r="M24" s="7" t="n">
        <v>68000000</v>
      </c>
      <c r="N24" s="7" t="n">
        <v>72000000</v>
      </c>
    </row>
    <row r="25" ht="17" customHeight="1">
      <c r="A25" s="5" t="inlineStr">
        <is>
          <t xml:space="preserve">  지급수수료(PG)</t>
        </is>
      </c>
      <c r="B25" s="6">
        <f>SUM(C25:N25)</f>
        <v/>
      </c>
      <c r="C25" s="7" t="n">
        <v>11985651</v>
      </c>
      <c r="D25" s="7" t="n">
        <v>11236026</v>
      </c>
      <c r="E25" s="7" t="n">
        <v>13877947</v>
      </c>
      <c r="F25" s="7" t="n">
        <v>13941813</v>
      </c>
      <c r="G25" s="7" t="n">
        <v>13000000</v>
      </c>
      <c r="H25" s="7" t="n">
        <v>13500000</v>
      </c>
      <c r="I25" s="7" t="n">
        <v>14000000</v>
      </c>
      <c r="J25" s="7" t="n">
        <v>14500000</v>
      </c>
      <c r="K25" s="7" t="n">
        <v>14000000</v>
      </c>
      <c r="L25" s="7" t="n">
        <v>15000000</v>
      </c>
      <c r="M25" s="7" t="n">
        <v>15500000</v>
      </c>
      <c r="N25" s="7" t="n">
        <v>16500000</v>
      </c>
    </row>
    <row r="26" ht="17" customHeight="1">
      <c r="A26" s="5" t="inlineStr">
        <is>
          <t xml:space="preserve">  지급수수료(개발)</t>
        </is>
      </c>
      <c r="B26" s="6">
        <f>SUM(C26:N26)</f>
        <v/>
      </c>
      <c r="C26" s="7" t="n">
        <v>25075595</v>
      </c>
      <c r="D26" s="7" t="n">
        <v>25170522</v>
      </c>
      <c r="E26" s="7" t="n">
        <v>34991362</v>
      </c>
      <c r="F26" s="7" t="n">
        <v>16736678</v>
      </c>
      <c r="G26" s="7" t="n">
        <v>20000000</v>
      </c>
      <c r="H26" s="7" t="n">
        <v>21000000</v>
      </c>
      <c r="I26" s="7" t="n">
        <v>22000000</v>
      </c>
      <c r="J26" s="7" t="n">
        <v>23000000</v>
      </c>
      <c r="K26" s="7" t="n">
        <v>22000000</v>
      </c>
      <c r="L26" s="7" t="n">
        <v>23000000</v>
      </c>
      <c r="M26" s="7" t="n">
        <v>24000000</v>
      </c>
      <c r="N26" s="7" t="n">
        <v>26000000</v>
      </c>
    </row>
    <row r="27" ht="17" customHeight="1">
      <c r="A27" s="5" t="inlineStr">
        <is>
          <t xml:space="preserve">  광고선전비(로톡)</t>
        </is>
      </c>
      <c r="B27" s="6">
        <f>SUM(C27:N27)</f>
        <v/>
      </c>
      <c r="C27" s="7" t="n">
        <v>34127769</v>
      </c>
      <c r="D27" s="7" t="n">
        <v>39520881</v>
      </c>
      <c r="E27" s="7" t="n">
        <v>37974264</v>
      </c>
      <c r="F27" s="7" t="n">
        <v>39142161</v>
      </c>
      <c r="G27" s="7" t="n">
        <v>38000000</v>
      </c>
      <c r="H27" s="7" t="n">
        <v>39000000</v>
      </c>
      <c r="I27" s="7" t="n">
        <v>40000000</v>
      </c>
      <c r="J27" s="7" t="n">
        <v>41000000</v>
      </c>
      <c r="K27" s="7" t="n">
        <v>40000000</v>
      </c>
      <c r="L27" s="7" t="n">
        <v>42000000</v>
      </c>
      <c r="M27" s="7" t="n">
        <v>44000000</v>
      </c>
      <c r="N27" s="7" t="n">
        <v>47000000</v>
      </c>
    </row>
    <row r="28" ht="17" customHeight="1">
      <c r="A28" s="5" t="inlineStr">
        <is>
          <t xml:space="preserve">  판매촉진비</t>
        </is>
      </c>
      <c r="B28" s="6">
        <f>SUM(C28:N28)</f>
        <v/>
      </c>
      <c r="C28" s="7" t="n">
        <v>246700000</v>
      </c>
      <c r="D28" s="7" t="n">
        <v>202401000</v>
      </c>
      <c r="E28" s="7" t="n">
        <v>240449000</v>
      </c>
      <c r="F28" s="7" t="n">
        <v>262935000</v>
      </c>
      <c r="G28" s="7" t="n">
        <v>285000000</v>
      </c>
      <c r="H28" s="7" t="n">
        <v>257000000</v>
      </c>
      <c r="I28" s="7" t="n">
        <v>295000000</v>
      </c>
      <c r="J28" s="7" t="n">
        <v>265000000</v>
      </c>
      <c r="K28" s="7" t="n">
        <v>289000000</v>
      </c>
      <c r="L28" s="7" t="n">
        <v>271000000</v>
      </c>
      <c r="M28" s="7" t="n">
        <v>320000000</v>
      </c>
      <c r="N28" s="7" t="n">
        <v>286000000</v>
      </c>
    </row>
    <row r="29" ht="17" customHeight="1">
      <c r="A29" s="3" t="inlineStr">
        <is>
          <t>Ⅴ. 영업이익</t>
        </is>
      </c>
      <c r="B29" s="4">
        <f>SUM(C29:N29)</f>
        <v/>
      </c>
      <c r="C29" s="4" t="n">
        <v>398267685</v>
      </c>
      <c r="D29" s="4" t="n">
        <v>412223268</v>
      </c>
      <c r="E29" s="4" t="n">
        <v>483432222</v>
      </c>
      <c r="F29" s="4" t="n">
        <v>453690379</v>
      </c>
      <c r="G29" s="4" t="n">
        <v>440000000</v>
      </c>
      <c r="H29" s="4" t="n">
        <v>460000000</v>
      </c>
      <c r="I29" s="4" t="n">
        <v>480000000</v>
      </c>
      <c r="J29" s="4" t="n">
        <v>500000000</v>
      </c>
      <c r="K29" s="4" t="n">
        <v>485000000</v>
      </c>
      <c r="L29" s="4" t="n">
        <v>530000000</v>
      </c>
      <c r="M29" s="4" t="n">
        <v>560000000</v>
      </c>
      <c r="N29" s="4" t="n">
        <v>620000000</v>
      </c>
    </row>
    <row r="30" ht="17" customHeight="1">
      <c r="A30" s="3" t="inlineStr">
        <is>
          <t>Ⅵ. 영업외수익</t>
        </is>
      </c>
      <c r="B30" s="4">
        <f>SUM(C30:N30)</f>
        <v/>
      </c>
      <c r="C30" s="4" t="n">
        <v>15008</v>
      </c>
      <c r="D30" s="4" t="n">
        <v>15000</v>
      </c>
      <c r="E30" s="4" t="n">
        <v>542613</v>
      </c>
      <c r="F30" s="4" t="n">
        <v>20006</v>
      </c>
      <c r="G30" s="4" t="n">
        <v>20000</v>
      </c>
      <c r="H30" s="4" t="n">
        <v>20000</v>
      </c>
      <c r="I30" s="4" t="n">
        <v>20000</v>
      </c>
      <c r="J30" s="4" t="n">
        <v>20000</v>
      </c>
      <c r="K30" s="4" t="n">
        <v>20000</v>
      </c>
      <c r="L30" s="4" t="n">
        <v>20000</v>
      </c>
      <c r="M30" s="4" t="n">
        <v>20000</v>
      </c>
      <c r="N30" s="4" t="n">
        <v>20000</v>
      </c>
    </row>
    <row r="31" ht="17" customHeight="1">
      <c r="A31" s="5" t="inlineStr">
        <is>
          <t xml:space="preserve">  잡이익</t>
        </is>
      </c>
      <c r="B31" s="6">
        <f>SUM(C31:N31)</f>
        <v/>
      </c>
      <c r="C31" s="7" t="n">
        <v>15008</v>
      </c>
      <c r="D31" s="7" t="n">
        <v>15000</v>
      </c>
      <c r="E31" s="7" t="n">
        <v>542613</v>
      </c>
      <c r="F31" s="7" t="n">
        <v>20006</v>
      </c>
      <c r="G31" s="7" t="n">
        <v>20000</v>
      </c>
      <c r="H31" s="7" t="n">
        <v>20000</v>
      </c>
      <c r="I31" s="7" t="n">
        <v>20000</v>
      </c>
      <c r="J31" s="7" t="n">
        <v>20000</v>
      </c>
      <c r="K31" s="7" t="n">
        <v>20000</v>
      </c>
      <c r="L31" s="7" t="n">
        <v>20000</v>
      </c>
      <c r="M31" s="7" t="n">
        <v>20000</v>
      </c>
      <c r="N31" s="7" t="n">
        <v>20000</v>
      </c>
    </row>
    <row r="32" ht="17" customHeight="1">
      <c r="A32" s="3" t="inlineStr">
        <is>
          <t>Ⅶ. 영업외비용</t>
        </is>
      </c>
      <c r="B32" s="4">
        <f>SUM(C32:N32)</f>
        <v/>
      </c>
      <c r="C32" s="4" t="n"/>
      <c r="D32" s="4" t="n">
        <v>29067</v>
      </c>
      <c r="E32" s="4" t="n"/>
      <c r="F32" s="4" t="n">
        <v>14615</v>
      </c>
      <c r="G32" s="4" t="n">
        <v>10000</v>
      </c>
      <c r="H32" s="4" t="n">
        <v>10000</v>
      </c>
      <c r="I32" s="4" t="n">
        <v>10000</v>
      </c>
      <c r="J32" s="4" t="n">
        <v>10000</v>
      </c>
      <c r="K32" s="4" t="n">
        <v>10000</v>
      </c>
      <c r="L32" s="4" t="n">
        <v>10000</v>
      </c>
      <c r="M32" s="4" t="n">
        <v>10000</v>
      </c>
      <c r="N32" s="4" t="n">
        <v>10000</v>
      </c>
    </row>
    <row r="33" ht="17" customHeight="1">
      <c r="A33" s="5" t="inlineStr">
        <is>
          <t xml:space="preserve">  이자비용</t>
        </is>
      </c>
      <c r="B33" s="6">
        <f>SUM(C33:N33)</f>
        <v/>
      </c>
      <c r="C33" s="7" t="n"/>
      <c r="D33" s="7" t="n">
        <v>29067</v>
      </c>
      <c r="E33" s="7" t="n"/>
      <c r="F33" s="7" t="n">
        <v>14615</v>
      </c>
      <c r="G33" s="7" t="n">
        <v>10000</v>
      </c>
      <c r="H33" s="7" t="n">
        <v>10000</v>
      </c>
      <c r="I33" s="7" t="n">
        <v>10000</v>
      </c>
      <c r="J33" s="7" t="n">
        <v>10000</v>
      </c>
      <c r="K33" s="7" t="n">
        <v>10000</v>
      </c>
      <c r="L33" s="7" t="n">
        <v>10000</v>
      </c>
      <c r="M33" s="7" t="n">
        <v>10000</v>
      </c>
      <c r="N33" s="7" t="n">
        <v>10000</v>
      </c>
    </row>
    <row r="34" ht="17" customHeight="1">
      <c r="A34" s="3" t="inlineStr">
        <is>
          <t>Ⅷ. 법인세비용차감전순이익</t>
        </is>
      </c>
      <c r="B34" s="4">
        <f>SUM(C34:N34)</f>
        <v/>
      </c>
      <c r="C34" s="4" t="n">
        <v>398282693</v>
      </c>
      <c r="D34" s="4" t="n">
        <v>412209201</v>
      </c>
      <c r="E34" s="4" t="n">
        <v>483974835</v>
      </c>
      <c r="F34" s="4" t="n">
        <v>453695770</v>
      </c>
      <c r="G34" s="4" t="n">
        <v>440010000</v>
      </c>
      <c r="H34" s="4" t="n">
        <v>460010000</v>
      </c>
      <c r="I34" s="4" t="n">
        <v>480010000</v>
      </c>
      <c r="J34" s="4" t="n">
        <v>500010000</v>
      </c>
      <c r="K34" s="4" t="n">
        <v>485010000</v>
      </c>
      <c r="L34" s="4" t="n">
        <v>530010000</v>
      </c>
      <c r="M34" s="4" t="n">
        <v>560010000</v>
      </c>
      <c r="N34" s="4" t="n">
        <v>620010000</v>
      </c>
    </row>
    <row r="35" ht="17" customHeight="1">
      <c r="A35" s="3" t="inlineStr">
        <is>
          <t>Ⅸ. 법인세비용</t>
        </is>
      </c>
      <c r="B35" s="4">
        <f>SUM(C35:N35)</f>
        <v/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 ht="17" customHeight="1">
      <c r="A36" s="3" t="inlineStr">
        <is>
          <t>Ⅹ. 당기순이익</t>
        </is>
      </c>
      <c r="B36" s="4">
        <f>SUM(C36:N36)</f>
        <v/>
      </c>
      <c r="C36" s="4" t="n">
        <v>398282693</v>
      </c>
      <c r="D36" s="4" t="n">
        <v>412209201</v>
      </c>
      <c r="E36" s="4" t="n">
        <v>483974835</v>
      </c>
      <c r="F36" s="4" t="n">
        <v>453695770</v>
      </c>
      <c r="G36" s="4" t="n">
        <v>440010000</v>
      </c>
      <c r="H36" s="4" t="n">
        <v>460010000</v>
      </c>
      <c r="I36" s="4" t="n">
        <v>480010000</v>
      </c>
      <c r="J36" s="4" t="n">
        <v>500010000</v>
      </c>
      <c r="K36" s="4" t="n">
        <v>485010000</v>
      </c>
      <c r="L36" s="4" t="n">
        <v>530010000</v>
      </c>
      <c r="M36" s="4" t="n">
        <v>560010000</v>
      </c>
      <c r="N36" s="4" t="n">
        <v>620010000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8" t="inlineStr">
        <is>
          <t>도슨티 AI 분석 대시보드 업로드 가이드</t>
        </is>
      </c>
    </row>
    <row r="2">
      <c r="A2" t="inlineStr"/>
    </row>
    <row r="3">
      <c r="A3" t="inlineStr">
        <is>
          <t>✅ 이 파일을 그대로 대시보드에 업로드하면 됩니다.</t>
        </is>
      </c>
    </row>
    <row r="4">
      <c r="A4" t="inlineStr"/>
    </row>
    <row r="5">
      <c r="A5" t="inlineStr">
        <is>
          <t>📋 파일 형식 규칙</t>
        </is>
      </c>
    </row>
    <row r="6">
      <c r="A6" t="inlineStr">
        <is>
          <t xml:space="preserve">  - 첫 번째 행: 헤더 (과목, 계, 1월, 2월 ... 형식)</t>
        </is>
      </c>
    </row>
    <row r="7">
      <c r="A7" t="inlineStr">
        <is>
          <t xml:space="preserve">  - A열: 계정과목명</t>
        </is>
      </c>
    </row>
    <row r="8">
      <c r="A8" t="inlineStr">
        <is>
          <t xml:space="preserve">  - B열: 연간 합계 (없어도 됨)</t>
        </is>
      </c>
    </row>
    <row r="9">
      <c r="A9" t="inlineStr">
        <is>
          <t xml:space="preserve">  - C열~: 월별 금액 (숫자만, 단위: 원)</t>
        </is>
      </c>
    </row>
    <row r="10">
      <c r="A10" t="inlineStr"/>
    </row>
    <row r="11">
      <c r="A11" t="inlineStr">
        <is>
          <t>📅 월 추가 방법</t>
        </is>
      </c>
    </row>
    <row r="12">
      <c r="A12" t="inlineStr">
        <is>
          <t xml:space="preserve">  - 손익계산서 시트에서 새 월 데이터 입력 후 저장</t>
        </is>
      </c>
    </row>
    <row r="13">
      <c r="A13" t="inlineStr">
        <is>
          <t xml:space="preserve">  - 대시보드에서 파일 교체 버튼 클릭 후 재업로드</t>
        </is>
      </c>
    </row>
    <row r="14">
      <c r="A14" t="inlineStr"/>
    </row>
    <row r="15">
      <c r="A15" t="inlineStr">
        <is>
          <t>⚠️ 주의사항</t>
        </is>
      </c>
    </row>
    <row r="16">
      <c r="A16" t="inlineStr">
        <is>
          <t xml:space="preserve">  - 과목명 변경 시 AI 분석 정확도가 낮아질 수 있습니다</t>
        </is>
      </c>
    </row>
    <row r="17">
      <c r="A17" t="inlineStr">
        <is>
          <t xml:space="preserve">  - 금액은 원 단위로 입력하세요 (만원 단위 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2026-05-30T03:25:13Z</dcterms:created>
  <dcterms:modified xmlns:dcterms="http://purl.org/dc/terms/" xmlns:xsi="http://www.w3.org/2001/XMLSchema-instance" xsi:type="dcterms:W3CDTF">2026-05-30T03:25:13Z</dcterms:modified>
</cp:coreProperties>
</file>